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<sst xmlns="http://schemas.openxmlformats.org/spreadsheetml/2006/main" count="153" uniqueCount="119">
  <si>
    <t xml:space="preserve">Project_ID</t>
  </si>
  <si>
    <t xml:space="preserve">Project_Name</t>
  </si>
  <si>
    <t xml:space="preserve">Project_Type</t>
  </si>
  <si>
    <t xml:space="preserve">Location</t>
  </si>
  <si>
    <t xml:space="preserve">Project_Size</t>
  </si>
  <si>
    <t xml:space="preserve">Total_Budget</t>
  </si>
  <si>
    <t xml:space="preserve">Start_Date</t>
  </si>
  <si>
    <t xml:space="preserve">End_Date</t>
  </si>
  <si>
    <t xml:space="preserve">Duration_Months</t>
  </si>
  <si>
    <t xml:space="preserve">Progress_Percent</t>
  </si>
  <si>
    <t xml:space="preserve">Status</t>
  </si>
  <si>
    <t xml:space="preserve">Project_Manager</t>
  </si>
  <si>
    <t xml:space="preserve">General_Contractor</t>
  </si>
  <si>
    <t xml:space="preserve">Architect</t>
  </si>
  <si>
    <t xml:space="preserve">Client</t>
  </si>
  <si>
    <t xml:space="preserve">Risk_Score</t>
  </si>
  <si>
    <t xml:space="preserve">Quality_Score</t>
  </si>
  <si>
    <t xml:space="preserve">Safety_Score</t>
  </si>
  <si>
    <t xml:space="preserve">Environmental_Impact</t>
  </si>
  <si>
    <t xml:space="preserve">Sustainability_Rating</t>
  </si>
  <si>
    <t xml:space="preserve">Permits_Status</t>
  </si>
  <si>
    <t xml:space="preserve">Last_Updated</t>
  </si>
  <si>
    <t xml:space="preserve">Notes</t>
  </si>
  <si>
    <t xml:space="preserve">PROJ001</t>
  </si>
  <si>
    <t xml:space="preserve">Downtown Office Tower</t>
  </si>
  <si>
    <t xml:space="preserve">Commercial Office Building</t>
  </si>
  <si>
    <t xml:space="preserve">123 Business District, Metro City</t>
  </si>
  <si>
    <t xml:space="preserve">450,000 sq ft</t>
  </si>
  <si>
    <t xml:space="preserve">2024-01-18</t>
  </si>
  <si>
    <t xml:space="preserve">2025-07-11</t>
  </si>
  <si>
    <t xml:space="preserve">Completed</t>
  </si>
  <si>
    <t xml:space="preserve">PM Davis</t>
  </si>
  <si>
    <t xml:space="preserve">Alpha Construction</t>
  </si>
  <si>
    <t xml:space="preserve">Modern Design Group</t>
  </si>
  <si>
    <t xml:space="preserve">Metro Industries</t>
  </si>
  <si>
    <t xml:space="preserve">High</t>
  </si>
  <si>
    <t xml:space="preserve">LEED Gold</t>
  </si>
  <si>
    <t xml:space="preserve">Pending</t>
  </si>
  <si>
    <t xml:space="preserve">2025-09-19 12:36:21</t>
  </si>
  <si>
    <t xml:space="preserve">Major commercial office building project with innovative requirements</t>
  </si>
  <si>
    <t xml:space="preserve">PROJ002</t>
  </si>
  <si>
    <t xml:space="preserve">Riverside Apartments</t>
  </si>
  <si>
    <t xml:space="preserve">Residential Complex</t>
  </si>
  <si>
    <t xml:space="preserve">789 Riverside Drive, Metro City</t>
  </si>
  <si>
    <t xml:space="preserve">200 units</t>
  </si>
  <si>
    <t xml:space="preserve">2024-03-27</t>
  </si>
  <si>
    <t xml:space="preserve">2025-05-21</t>
  </si>
  <si>
    <t xml:space="preserve">At Risk</t>
  </si>
  <si>
    <t xml:space="preserve">PM Johnson</t>
  </si>
  <si>
    <t xml:space="preserve">Delta Construction</t>
  </si>
  <si>
    <t xml:space="preserve">Classic Design Group</t>
  </si>
  <si>
    <t xml:space="preserve">United Corp</t>
  </si>
  <si>
    <t xml:space="preserve">Medium</t>
  </si>
  <si>
    <t xml:space="preserve">Green Building</t>
  </si>
  <si>
    <t xml:space="preserve">Approved</t>
  </si>
  <si>
    <t xml:space="preserve">Major residential complex project with complex requirements</t>
  </si>
  <si>
    <t xml:space="preserve">PROJ003</t>
  </si>
  <si>
    <t xml:space="preserve">Tech Campus Expansion</t>
  </si>
  <si>
    <t xml:space="preserve">456 Innovation Park, Tech Valley</t>
  </si>
  <si>
    <t xml:space="preserve">600,000 sq ft</t>
  </si>
  <si>
    <t xml:space="preserve">2024-04-14</t>
  </si>
  <si>
    <t xml:space="preserve">2026-04-04</t>
  </si>
  <si>
    <t xml:space="preserve">In Progress</t>
  </si>
  <si>
    <t xml:space="preserve">Beta Construction</t>
  </si>
  <si>
    <t xml:space="preserve">Urban Design Group</t>
  </si>
  <si>
    <t xml:space="preserve">Premier Industries</t>
  </si>
  <si>
    <t xml:space="preserve">PROJ004</t>
  </si>
  <si>
    <t xml:space="preserve">Metro Hospital Wing</t>
  </si>
  <si>
    <t xml:space="preserve">Healthcare Facility</t>
  </si>
  <si>
    <t xml:space="preserve">321 Medical Center Dr, Metro City</t>
  </si>
  <si>
    <t xml:space="preserve">300,000 sq ft</t>
  </si>
  <si>
    <t xml:space="preserve">2024-04-01</t>
  </si>
  <si>
    <t xml:space="preserve">2026-09-18</t>
  </si>
  <si>
    <t xml:space="preserve">United Group</t>
  </si>
  <si>
    <t xml:space="preserve">LEED Silver</t>
  </si>
  <si>
    <t xml:space="preserve">Major healthcare facility project with standard requirements</t>
  </si>
  <si>
    <t xml:space="preserve">PROJ005</t>
  </si>
  <si>
    <t xml:space="preserve">Logistics Hub Warehouse</t>
  </si>
  <si>
    <t xml:space="preserve">Industrial Warehouse</t>
  </si>
  <si>
    <t xml:space="preserve">987 Industrial Blvd, Port District</t>
  </si>
  <si>
    <t xml:space="preserve">800,000 sq ft</t>
  </si>
  <si>
    <t xml:space="preserve">2024-01-28</t>
  </si>
  <si>
    <t xml:space="preserve">2025-01-22</t>
  </si>
  <si>
    <t xml:space="preserve">Gamma Construction</t>
  </si>
  <si>
    <t xml:space="preserve">Green Design Group</t>
  </si>
  <si>
    <t xml:space="preserve">Global Holdings</t>
  </si>
  <si>
    <t xml:space="preserve">Low</t>
  </si>
  <si>
    <t xml:space="preserve">LEED Platinum</t>
  </si>
  <si>
    <t xml:space="preserve">Under Review</t>
  </si>
  <si>
    <t xml:space="preserve">Major industrial warehouse project with standard requirements</t>
  </si>
  <si>
    <t xml:space="preserve">PROJ006</t>
  </si>
  <si>
    <t xml:space="preserve">University Science Center</t>
  </si>
  <si>
    <t xml:space="preserve">Educational Institution</t>
  </si>
  <si>
    <t xml:space="preserve">654 Campus Way, University Town</t>
  </si>
  <si>
    <t xml:space="preserve">250,000 sq ft</t>
  </si>
  <si>
    <t xml:space="preserve">2024-03-24</t>
  </si>
  <si>
    <t xml:space="preserve">2025-11-14</t>
  </si>
  <si>
    <t xml:space="preserve">Near Completion</t>
  </si>
  <si>
    <t xml:space="preserve">PM Smith</t>
  </si>
  <si>
    <t xml:space="preserve">Global Group</t>
  </si>
  <si>
    <t xml:space="preserve">Major educational institution project with standard requirements</t>
  </si>
  <si>
    <t xml:space="preserve">PROJ007</t>
  </si>
  <si>
    <t xml:space="preserve">Suburban Shopping Plaza</t>
  </si>
  <si>
    <t xml:space="preserve">Retail Shopping Center</t>
  </si>
  <si>
    <t xml:space="preserve">147 Mall Road, Suburbia</t>
  </si>
  <si>
    <t xml:space="preserve">180,000 sq ft</t>
  </si>
  <si>
    <t xml:space="preserve">2025-05-22</t>
  </si>
  <si>
    <t xml:space="preserve">Metro Corp</t>
  </si>
  <si>
    <t xml:space="preserve">Major retail shopping center project with innovative requirements</t>
  </si>
  <si>
    <t xml:space="preserve">PROJ008</t>
  </si>
  <si>
    <t xml:space="preserve">EGK HAMILTON</t>
  </si>
  <si>
    <t xml:space="preserve">Mix Used</t>
  </si>
  <si>
    <t xml:space="preserve">Hamilton</t>
  </si>
  <si>
    <t xml:space="preserve">2025-08-22</t>
  </si>
  <si>
    <t xml:space="preserve">2027-05-22</t>
  </si>
  <si>
    <t xml:space="preserve">Elie</t>
  </si>
  <si>
    <t xml:space="preserve">Skygrid</t>
  </si>
  <si>
    <t xml:space="preserve">Skydrid</t>
  </si>
  <si>
    <t xml:space="preserve">CAN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</si>
</sst>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9" activeCellId="0" sqref="V9"/>
    </sheetView>
  </sheetViews>
  <sheetFormatPr defaultColWidth="8.6796875" defaultRowHeight="15" zeroHeight="false" outlineLevelRow="0" outlineLevelCol="0"/>
  <cols>
    <col collapsed="false" customWidth="true" hidden="false" outlineLevel="0" max="6" min="6" style="0" width="14.09"/>
    <col collapsed="false" customWidth="true" hidden="false" outlineLevel="0" max="8" min="8" style="0" width="11.86"/>
    <col collapsed="false" customWidth="true" hidden="false" outlineLevel="0" max="9" min="9" style="0" width="7.78"/>
    <col collapsed="false" customWidth="true" hidden="false" outlineLevel="0" max="16" min="16" style="0" width="11.86"/>
    <col collapsed="false" customWidth="true" hidden="false" outlineLevel="0" max="19" min="19" style="0" width="23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n">
        <v>25000000</v>
      </c>
      <c r="G2" s="0" t="s">
        <v>28</v>
      </c>
      <c r="H2" s="0" t="s">
        <v>29</v>
      </c>
      <c r="I2" s="0" t="n">
        <v>18</v>
      </c>
      <c r="J2" s="0" t="n">
        <v>100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n">
        <v>3</v>
      </c>
      <c r="Q2" s="0" t="n">
        <v>9</v>
      </c>
      <c r="R2" s="0" t="n">
        <v>9</v>
      </c>
      <c r="S2" s="0" t="s">
        <v>35</v>
      </c>
      <c r="T2" s="0" t="s">
        <v>36</v>
      </c>
      <c r="U2" s="0" t="s">
        <v>37</v>
      </c>
      <c r="V2" s="0" t="s">
        <v>38</v>
      </c>
      <c r="W2" s="0" t="s">
        <v>39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n">
        <v>18000000</v>
      </c>
      <c r="G3" s="0" t="s">
        <v>45</v>
      </c>
      <c r="H3" s="0" t="s">
        <v>46</v>
      </c>
      <c r="I3" s="0" t="n">
        <v>14</v>
      </c>
      <c r="J3" s="0" t="n">
        <v>100</v>
      </c>
      <c r="K3" s="0" t="s">
        <v>47</v>
      </c>
      <c r="L3" s="0" t="s">
        <v>48</v>
      </c>
      <c r="M3" s="0" t="s">
        <v>49</v>
      </c>
      <c r="N3" s="0" t="s">
        <v>50</v>
      </c>
      <c r="O3" s="0" t="s">
        <v>51</v>
      </c>
      <c r="P3" s="0" t="n">
        <v>8</v>
      </c>
      <c r="Q3" s="0" t="n">
        <v>6</v>
      </c>
      <c r="R3" s="0" t="n">
        <v>10</v>
      </c>
      <c r="S3" s="0" t="s">
        <v>52</v>
      </c>
      <c r="T3" s="0" t="s">
        <v>53</v>
      </c>
      <c r="U3" s="0" t="s">
        <v>54</v>
      </c>
      <c r="V3" s="0" t="s">
        <v>38</v>
      </c>
      <c r="W3" s="0" t="s">
        <v>55</v>
      </c>
    </row>
    <row r="4" customFormat="false" ht="15" hidden="false" customHeight="false" outlineLevel="0" collapsed="false">
      <c r="A4" s="0" t="s">
        <v>56</v>
      </c>
      <c r="B4" s="0" t="s">
        <v>57</v>
      </c>
      <c r="C4" s="0" t="s">
        <v>25</v>
      </c>
      <c r="D4" s="0" t="s">
        <v>58</v>
      </c>
      <c r="E4" s="0" t="s">
        <v>59</v>
      </c>
      <c r="F4" s="0" t="n">
        <v>35000000</v>
      </c>
      <c r="G4" s="0" t="s">
        <v>60</v>
      </c>
      <c r="H4" s="0" t="s">
        <v>61</v>
      </c>
      <c r="I4" s="0" t="n">
        <v>24</v>
      </c>
      <c r="J4" s="0" t="n">
        <v>72.6</v>
      </c>
      <c r="K4" s="0" t="s">
        <v>62</v>
      </c>
      <c r="L4" s="0" t="s">
        <v>48</v>
      </c>
      <c r="M4" s="0" t="s">
        <v>63</v>
      </c>
      <c r="N4" s="0" t="s">
        <v>64</v>
      </c>
      <c r="O4" s="0" t="s">
        <v>65</v>
      </c>
      <c r="P4" s="0" t="n">
        <v>7</v>
      </c>
      <c r="Q4" s="0" t="n">
        <v>9</v>
      </c>
      <c r="R4" s="0" t="n">
        <v>10</v>
      </c>
      <c r="S4" s="0" t="s">
        <v>52</v>
      </c>
      <c r="T4" s="0" t="s">
        <v>36</v>
      </c>
      <c r="U4" s="0" t="s">
        <v>37</v>
      </c>
      <c r="V4" s="0" t="s">
        <v>38</v>
      </c>
      <c r="W4" s="0" t="s">
        <v>39</v>
      </c>
    </row>
    <row r="5" customFormat="false" ht="15" hidden="false" customHeight="false" outlineLevel="0" collapsed="false">
      <c r="A5" s="0" t="s">
        <v>66</v>
      </c>
      <c r="B5" s="0" t="s">
        <v>67</v>
      </c>
      <c r="C5" s="0" t="s">
        <v>68</v>
      </c>
      <c r="D5" s="0" t="s">
        <v>69</v>
      </c>
      <c r="E5" s="0" t="s">
        <v>70</v>
      </c>
      <c r="F5" s="0" t="n">
        <v>45000000</v>
      </c>
      <c r="G5" s="0" t="s">
        <v>71</v>
      </c>
      <c r="H5" s="0" t="s">
        <v>72</v>
      </c>
      <c r="I5" s="0" t="n">
        <v>30</v>
      </c>
      <c r="J5" s="0" t="n">
        <v>59.6</v>
      </c>
      <c r="K5" s="0" t="s">
        <v>62</v>
      </c>
      <c r="L5" s="0" t="s">
        <v>31</v>
      </c>
      <c r="M5" s="0" t="s">
        <v>49</v>
      </c>
      <c r="N5" s="0" t="s">
        <v>33</v>
      </c>
      <c r="O5" s="0" t="s">
        <v>73</v>
      </c>
      <c r="P5" s="0" t="n">
        <v>2</v>
      </c>
      <c r="Q5" s="0" t="n">
        <v>6</v>
      </c>
      <c r="R5" s="0" t="n">
        <v>7</v>
      </c>
      <c r="S5" s="0" t="s">
        <v>52</v>
      </c>
      <c r="T5" s="0" t="s">
        <v>74</v>
      </c>
      <c r="U5" s="0" t="s">
        <v>37</v>
      </c>
      <c r="V5" s="0" t="s">
        <v>38</v>
      </c>
      <c r="W5" s="0" t="s">
        <v>75</v>
      </c>
    </row>
    <row r="6" customFormat="false" ht="15" hidden="false" customHeight="false" outlineLevel="0" collapsed="false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n">
        <v>12000000</v>
      </c>
      <c r="G6" s="0" t="s">
        <v>81</v>
      </c>
      <c r="H6" s="0" t="s">
        <v>82</v>
      </c>
      <c r="I6" s="0" t="n">
        <v>12</v>
      </c>
      <c r="J6" s="0" t="n">
        <v>100</v>
      </c>
      <c r="K6" s="0" t="s">
        <v>47</v>
      </c>
      <c r="L6" s="0" t="s">
        <v>31</v>
      </c>
      <c r="M6" s="0" t="s">
        <v>83</v>
      </c>
      <c r="N6" s="0" t="s">
        <v>84</v>
      </c>
      <c r="O6" s="0" t="s">
        <v>85</v>
      </c>
      <c r="P6" s="0" t="n">
        <v>9</v>
      </c>
      <c r="Q6" s="0" t="n">
        <v>7</v>
      </c>
      <c r="R6" s="0" t="n">
        <v>9</v>
      </c>
      <c r="S6" s="0" t="s">
        <v>86</v>
      </c>
      <c r="T6" s="0" t="s">
        <v>87</v>
      </c>
      <c r="U6" s="0" t="s">
        <v>88</v>
      </c>
      <c r="V6" s="0" t="s">
        <v>38</v>
      </c>
      <c r="W6" s="0" t="s">
        <v>89</v>
      </c>
    </row>
    <row r="7" customFormat="false" ht="15" hidden="false" customHeight="false" outlineLevel="0" collapsed="false">
      <c r="A7" s="0" t="s">
        <v>90</v>
      </c>
      <c r="B7" s="0" t="s">
        <v>91</v>
      </c>
      <c r="C7" s="0" t="s">
        <v>92</v>
      </c>
      <c r="D7" s="0" t="s">
        <v>93</v>
      </c>
      <c r="E7" s="0" t="s">
        <v>94</v>
      </c>
      <c r="F7" s="0" t="n">
        <v>28000000</v>
      </c>
      <c r="G7" s="0" t="s">
        <v>95</v>
      </c>
      <c r="H7" s="0" t="s">
        <v>96</v>
      </c>
      <c r="I7" s="0" t="n">
        <v>20</v>
      </c>
      <c r="J7" s="0" t="n">
        <v>90.7</v>
      </c>
      <c r="K7" s="0" t="s">
        <v>97</v>
      </c>
      <c r="L7" s="0" t="s">
        <v>98</v>
      </c>
      <c r="M7" s="0" t="s">
        <v>83</v>
      </c>
      <c r="N7" s="0" t="s">
        <v>64</v>
      </c>
      <c r="O7" s="0" t="s">
        <v>99</v>
      </c>
      <c r="P7" s="0" t="n">
        <v>6</v>
      </c>
      <c r="Q7" s="0" t="n">
        <v>6</v>
      </c>
      <c r="R7" s="0" t="n">
        <v>7</v>
      </c>
      <c r="S7" s="0" t="s">
        <v>86</v>
      </c>
      <c r="T7" s="0" t="s">
        <v>74</v>
      </c>
      <c r="U7" s="0" t="s">
        <v>37</v>
      </c>
      <c r="V7" s="0" t="s">
        <v>38</v>
      </c>
      <c r="W7" s="0" t="s">
        <v>100</v>
      </c>
    </row>
    <row r="8" customFormat="false" ht="15" hidden="false" customHeight="false" outlineLevel="0" collapsed="false">
      <c r="A8" s="0" t="s">
        <v>101</v>
      </c>
      <c r="B8" s="0" t="s">
        <v>102</v>
      </c>
      <c r="C8" s="0" t="s">
        <v>103</v>
      </c>
      <c r="D8" s="0" t="s">
        <v>104</v>
      </c>
      <c r="E8" s="0" t="s">
        <v>105</v>
      </c>
      <c r="F8" s="0" t="n">
        <v>15000000</v>
      </c>
      <c r="G8" s="0" t="s">
        <v>81</v>
      </c>
      <c r="H8" s="0" t="s">
        <v>106</v>
      </c>
      <c r="I8" s="0" t="n">
        <v>16</v>
      </c>
      <c r="J8" s="0" t="n">
        <v>100</v>
      </c>
      <c r="K8" s="0" t="s">
        <v>30</v>
      </c>
      <c r="L8" s="0" t="s">
        <v>98</v>
      </c>
      <c r="M8" s="0" t="s">
        <v>49</v>
      </c>
      <c r="N8" s="0" t="s">
        <v>50</v>
      </c>
      <c r="O8" s="0" t="s">
        <v>107</v>
      </c>
      <c r="P8" s="0" t="n">
        <v>6</v>
      </c>
      <c r="Q8" s="0" t="n">
        <v>8</v>
      </c>
      <c r="R8" s="0" t="n">
        <v>10</v>
      </c>
      <c r="S8" s="0" t="s">
        <v>86</v>
      </c>
      <c r="T8" s="0" t="s">
        <v>87</v>
      </c>
      <c r="U8" s="0" t="s">
        <v>54</v>
      </c>
      <c r="V8" s="0" t="s">
        <v>38</v>
      </c>
      <c r="W8" s="0" t="s">
        <v>108</v>
      </c>
    </row>
    <row r="9" customFormat="false" ht="15" hidden="false" customHeight="false" outlineLevel="0" collapsed="false">
      <c r="A9" s="0" t="s">
        <v>109</v>
      </c>
      <c r="B9" s="0" t="s">
        <v>110</v>
      </c>
      <c r="C9" s="0" t="s">
        <v>111</v>
      </c>
      <c r="D9" s="0" t="s">
        <v>112</v>
      </c>
      <c r="E9" s="0" t="n">
        <v>5000000</v>
      </c>
      <c r="F9" s="0" t="n">
        <v>54000000</v>
      </c>
      <c r="G9" s="0" t="s">
        <v>113</v>
      </c>
      <c r="H9" s="0" t="s">
        <v>114</v>
      </c>
      <c r="I9" s="0" t="n">
        <f aca="false">ROUNDUP((H9-G9)/30,0)</f>
        <v>22</v>
      </c>
      <c r="J9" s="0" t="n">
        <v>20</v>
      </c>
      <c r="K9" s="0" t="s">
        <v>62</v>
      </c>
      <c r="L9" s="0" t="s">
        <v>115</v>
      </c>
      <c r="M9" s="0" t="s">
        <v>116</v>
      </c>
      <c r="N9" s="0" t="s">
        <v>117</v>
      </c>
      <c r="O9" s="0" t="s">
        <v>118</v>
      </c>
      <c r="V9" s="2" t="n">
        <f aca="true">TODAY()</f>
        <v>45921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2025-09-19T16:36:21Z</dcterms:created>
  <dc:creator>openpyxl</dc:creator>
  <dc:description/>
  <dc:language>en-US</dc:language>
  <cp:lastModifiedBy/>
  <dcterms:modified xsi:type="dcterms:W3CDTF">2025-09-21T15:36:01Z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